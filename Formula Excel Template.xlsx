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d978148a3a307/python_libararies/Excel/"/>
    </mc:Choice>
  </mc:AlternateContent>
  <xr:revisionPtr revIDLastSave="89" documentId="8_{9D1202CE-197F-4FF2-9EA5-3C964CEA08C5}" xr6:coauthVersionLast="47" xr6:coauthVersionMax="47" xr10:uidLastSave="{952FEFFC-6FFF-4486-9A71-21280E0818FD}"/>
  <bookViews>
    <workbookView xWindow="3684" yWindow="2796" windowWidth="17280" windowHeight="888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9" l="1"/>
  <c r="C16" i="9" a="1"/>
  <c r="C16" i="9" s="1"/>
  <c r="C14" i="9" a="1"/>
  <c r="C14" i="9" s="1"/>
  <c r="AA2" i="9"/>
  <c r="W2" i="9" a="1"/>
  <c r="W2" i="9" s="1"/>
  <c r="AG3" i="9"/>
  <c r="AG4" i="9"/>
  <c r="AG5" i="9"/>
  <c r="AG6" i="9"/>
  <c r="AG7" i="9"/>
  <c r="AG8" i="9"/>
  <c r="AG9" i="9"/>
  <c r="AG10" i="9"/>
  <c r="AG2" i="9"/>
  <c r="AF3" i="9"/>
  <c r="AF4" i="9"/>
  <c r="AF5" i="9"/>
  <c r="AF6" i="9"/>
  <c r="AF7" i="9"/>
  <c r="AF8" i="9"/>
  <c r="AF9" i="9"/>
  <c r="AF10" i="9"/>
  <c r="AF2" i="9"/>
  <c r="AE2" i="9"/>
  <c r="AD2" i="9"/>
  <c r="AC2" i="9"/>
  <c r="AB2" i="9"/>
  <c r="Z2" i="9"/>
  <c r="V2" i="9" a="1"/>
  <c r="V2" i="9" s="1"/>
  <c r="U2" i="9" a="1"/>
  <c r="U2" i="9" s="1"/>
  <c r="T2" i="9" a="1"/>
  <c r="T2" i="9" s="1"/>
  <c r="S2" i="9" a="1"/>
  <c r="S2" i="9" s="1"/>
  <c r="R2" i="9" a="1"/>
  <c r="R2" i="9" s="1"/>
  <c r="Q2" i="9" a="1"/>
  <c r="Q2" i="9" s="1"/>
  <c r="P2" i="9" a="1"/>
  <c r="P2" i="9" s="1"/>
  <c r="O2" i="9" a="1"/>
  <c r="O2" i="9" s="1"/>
  <c r="N2" i="9" a="1"/>
  <c r="N2" i="9" s="1"/>
  <c r="M2" i="9" a="1"/>
  <c r="M2" i="9" s="1"/>
  <c r="L2" i="9" a="1"/>
  <c r="L2" i="9" s="1"/>
  <c r="K3" i="9"/>
  <c r="J3" i="9"/>
  <c r="J2" i="9"/>
  <c r="H11" i="1"/>
  <c r="H12" i="1"/>
  <c r="X2" i="9" l="1" a="1"/>
  <c r="X2" i="9" s="1"/>
  <c r="Y2" i="9" a="1"/>
  <c r="Y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<sst xmlns="http://schemas.openxmlformats.org/spreadsheetml/2006/main" count="610" uniqueCount="108">
  <si>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</si>
  <si>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</si>
  <si>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</si>
  <si>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</si>
  <si>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</si>
  <si>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</si>
  <si>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</si>
  <si>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</si>
  <si>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</si>
  <si>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</si>
  <si>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</si>
  <si>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</si>
  <si>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</si>
  <si>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</si>
  <si>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</si>
  <si>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</si>
  <si>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</si>
  <si>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</si>
  <si>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</si>
  <si>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</si>
  <si>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</si>
  <si>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</si>
  <si>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</si>
  <si>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</si>
  <si>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</si>
  <si>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</si>
  <si>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</si>
  <si>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</si>
  <si>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</si>
  <si>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</si>
  <si>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</si>
  <si>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</si>
  <si>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</si>
  <si>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</si>
  <si>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</si>
  <si>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</si>
  <si>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</si>
  <si>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</si>
  <si>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</si>
  <si>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</si>
  <si>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</si>
  <si>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</si>
  <si>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</si>
  <si>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</si>
  <si>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</si>
  <si>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</si>
  <si>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</si>
  <si>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</si>
  <si>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</si>
  <si>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</si>
  <si>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</si>
  <si>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</si>
  <si>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</si>
  <si>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</si>
  <si>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</si>
  <si>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</si>
  <si>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</si>
  <si>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</si>
  <si>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</si>
  <si>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</si>
  <si>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</si>
  <si>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</si>
  <si>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</si>
  <si>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</si>
  <si>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</si>
  <si>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</si>
  <si>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</si>
  <si>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</si>
  <si>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</si>
  <si>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</si>
  <si>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</si>
  <si>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</si>
  <si>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</si>
  <si>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</si>
  <si>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</si>
  <si>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</si>
  <si>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</si>
  <si>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</si>
  <si>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</si>
  <si>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</si>
  <si>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</si>
  <si>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</si>
  <si>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</si>
  <si>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</si>
  <si>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</si>
  <si>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</si>
  <si>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</si>
  <si>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</si>
  <si>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len</t>
  </si>
  <si>
    <t xml:space="preserve">left </t>
  </si>
  <si>
    <t>TEXT</t>
  </si>
  <si>
    <t>Trim()</t>
  </si>
  <si>
    <t>Concatenate()</t>
  </si>
  <si>
    <t>concatenate</t>
  </si>
  <si>
    <t>Substitute()</t>
  </si>
  <si>
    <t xml:space="preserve">with 1 instance </t>
  </si>
  <si>
    <t>with 2 instance</t>
  </si>
  <si>
    <t>SUMIFS()</t>
  </si>
  <si>
    <t>COUNT()</t>
  </si>
  <si>
    <t>works on numbers</t>
  </si>
  <si>
    <t>COUNTIF()</t>
  </si>
  <si>
    <t>COUNTIFS()</t>
  </si>
  <si>
    <t>DAYS()</t>
  </si>
  <si>
    <t>NETWORKS DAYS</t>
  </si>
  <si>
    <t>XLOOKUP()</t>
  </si>
  <si>
    <t>finding elements</t>
  </si>
  <si>
    <t xml:space="preserve">with math model </t>
  </si>
  <si>
    <t>with search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</si>
</sst>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AG19"/>
  <sheetViews>
    <sheetView tabSelected="1" workbookViewId="0">
      <selection activeCell="F23" sqref="F23"/>
    </sheetView>
  </sheetViews>
  <sheetFormatPr defaultColWidth="13.6640625" defaultRowHeight="14.4" x14ac:dyDescent="0.3"/>
  <cols>
    <col min="1" max="1" width="10.77734375" style="3" bestFit="1" customWidth="1"/>
    <col min="2" max="2" width="9.33203125" style="3" bestFit="1" customWidth="1"/>
    <col min="3" max="3" width="9.88671875" style="3" bestFit="1" customWidth="1"/>
    <col min="4" max="4" width="4" style="3" bestFit="1" customWidth="1"/>
    <col min="5" max="5" width="6.88671875" style="3" bestFit="1" customWidth="1"/>
    <col min="6" max="6" width="15.77734375" style="3" bestFit="1" customWidth="1"/>
    <col min="7" max="7" width="8" style="3" bestFit="1" customWidth="1"/>
    <col min="8" max="8" width="16.77734375" style="3" customWidth="1"/>
    <col min="9" max="10" width="10.33203125" style="3" bestFit="1" customWidth="1"/>
    <col min="11" max="11" width="6" style="3" bestFit="1" customWidth="1"/>
    <col min="12" max="12" width="6.109375" style="3" bestFit="1" customWidth="1"/>
    <col min="13" max="13" width="8.44140625" style="3" bestFit="1" customWidth="1"/>
    <col min="14" max="14" width="3.44140625" style="3" bestFit="1" customWidth="1"/>
    <col min="15" max="15" width="4.5546875" style="3" bestFit="1" customWidth="1"/>
    <col min="16" max="16" width="5.109375" style="3" bestFit="1" customWidth="1"/>
    <col min="17" max="17" width="6" style="3" bestFit="1" customWidth="1"/>
    <col min="18" max="18" width="10.5546875" style="3" bestFit="1" customWidth="1"/>
    <col min="19" max="19" width="5.109375" style="3" bestFit="1" customWidth="1"/>
    <col min="20" max="20" width="9.88671875" style="3" bestFit="1" customWidth="1"/>
    <col min="21" max="21" width="14.6640625" style="3" bestFit="1" customWidth="1"/>
    <col min="22" max="22" width="25.21875" style="3" bestFit="1" customWidth="1"/>
    <col min="23" max="16384" width="13.6640625" style="3"/>
  </cols>
  <sheetData>
    <row r="1" spans="1:33" x14ac:dyDescent="0.3">
      <c r="A1" s="3" t="s">
        <v>20</v>
      </c>
      <c r="B1" s="3" t="s">
        <v>0</v>
      </c>
      <c r="C1" s="3" t="s">
        <v>1</v>
      </c>
      <c r="D1" s="3" t="s">
        <v>23</v>
      </c>
      <c r="E1" s="3" t="s">
        <v>24</v>
      </c>
      <c r="F1" s="3" t="s">
        <v>21</v>
      </c>
      <c r="G1" s="3" t="s">
        <v>22</v>
      </c>
      <c r="H1" s="3" t="s">
        <v>36</v>
      </c>
      <c r="I1" s="3" t="s">
        <v>37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88</v>
      </c>
      <c r="O1" s="3" t="s">
        <v>89</v>
      </c>
      <c r="P1" s="3" t="s">
        <v>87</v>
      </c>
      <c r="Q1" s="3" t="s">
        <v>87</v>
      </c>
      <c r="R1" s="3" t="s">
        <v>90</v>
      </c>
      <c r="S1" s="3" t="s">
        <v>87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74</v>
      </c>
      <c r="AA1" s="3" t="s">
        <v>75</v>
      </c>
      <c r="AB1" s="3" t="s">
        <v>97</v>
      </c>
      <c r="AC1" s="3" t="s">
        <v>98</v>
      </c>
      <c r="AD1" s="3" t="s">
        <v>100</v>
      </c>
      <c r="AE1" s="3" t="s">
        <v>101</v>
      </c>
      <c r="AF1" s="3" t="s">
        <v>102</v>
      </c>
      <c r="AG1" s="3" t="s">
        <v>103</v>
      </c>
    </row>
    <row r="2" spans="1:33" x14ac:dyDescent="0.3">
      <c r="A2" s="3">
        <v>1001</v>
      </c>
      <c r="B2" s="3" t="s">
        <v>2</v>
      </c>
      <c r="C2" s="3" t="s">
        <v>3</v>
      </c>
      <c r="D2" s="3">
        <v>30</v>
      </c>
      <c r="E2" s="3" t="s">
        <v>26</v>
      </c>
      <c r="F2" s="3" t="s">
        <v>25</v>
      </c>
      <c r="G2" s="3">
        <v>45000</v>
      </c>
      <c r="H2" s="4">
        <v>37197</v>
      </c>
      <c r="I2" s="4">
        <v>42253</v>
      </c>
      <c r="J2" s="4">
        <f>MAX(G2:G10)</f>
        <v>65000</v>
      </c>
      <c r="K2" s="5"/>
      <c r="L2" s="3" t="str" cm="1">
        <f t="array" ref="L2:L10">IF(G2:G10&gt;45000,"Senior","Junoir")</f>
        <v>Junoir</v>
      </c>
      <c r="M2" s="3" t="str" cm="1">
        <f t="array" ref="M2:M10">_xlfn.IFS(F2:F10="Salesman","Sales",F2:F10="HR","Manager",F2:F10="Accountant","Accounts")</f>
        <v>Sales</v>
      </c>
      <c r="N2" s="3" cm="1">
        <f t="array" ref="N2:N10">LEN(C2:C10)</f>
        <v>7</v>
      </c>
      <c r="O2" s="3" t="str" cm="1">
        <f t="array" ref="O2:O11">LEFT(B2:B11,3)</f>
        <v>Jim</v>
      </c>
      <c r="P2" s="4" t="str" cm="1">
        <f t="array" ref="P2:P10">RIGHT(A2:A10,1)</f>
        <v>1</v>
      </c>
      <c r="Q2" s="3" t="str" cm="1">
        <f t="array" ref="Q2:Q10">RIGHT(H2:H10,5)</f>
        <v>37197</v>
      </c>
      <c r="R2" s="3" t="str" cm="1">
        <f t="array" ref="R2:R10">TEXT(H2:H10,"dd/mm/yyyy")</f>
        <v>02/11/2001</v>
      </c>
      <c r="S2" s="3" t="str" cm="1">
        <f t="array" ref="S2:S10">RIGHT(_xlfn.ANCHORARRAY(R2),4)</f>
        <v>2001</v>
      </c>
      <c r="T2" s="3" t="str" cm="1">
        <f t="array" ref="T2:T10">TRIM(C2:C10)</f>
        <v>Halpert</v>
      </c>
      <c r="U2" s="3" t="str" cm="1">
        <f t="array" ref="U2:U10">CONCATENATE(C2:C10," ",B2:B10)</f>
        <v>Halpert Jim</v>
      </c>
      <c r="V2" s="3" t="str" cm="1">
        <f t="array" ref="V2:V10">CONCATENATE(B2:B10,".",C2:C10,"@gmail.com")</f>
        <v>Jim.Halpert@gmail.com</v>
      </c>
      <c r="W2" s="3" t="str" cm="1">
        <f t="array" ref="W2:W10">SUBSTITUTE(_xlfn.ANCHORARRAY(R2),"/","-")</f>
        <v>02-11-2001</v>
      </c>
      <c r="X2" s="3" t="str" cm="1">
        <f t="array" ref="X2:X10">SUBSTITUTE(_xlfn.ANCHORARRAY(R2),"/","-",1)</f>
        <v>02-11/2001</v>
      </c>
      <c r="Y2" s="3" t="str" cm="1">
        <f t="array" ref="Y2:Y10">SUBSTITUTE(_xlfn.ANCHORARRAY(R2),"/","-",2)</f>
        <v>02/11-2001</v>
      </c>
      <c r="Z2" s="3">
        <f>SUM(G2:G10)</f>
        <v>437000</v>
      </c>
      <c r="AA2" s="3">
        <f>SUMIF(G2:G10,"&gt;45000")</f>
        <v>273000</v>
      </c>
      <c r="AB2" s="3">
        <f>SUMIFS(G2:G10,E2:E10,"Female",D2:D10,"&gt;30")</f>
        <v>88000</v>
      </c>
      <c r="AC2" s="3">
        <f>COUNT(A2:A10)</f>
        <v>9</v>
      </c>
      <c r="AD2" s="3">
        <f>COUNTIF(G2:G10,"&gt;50000")</f>
        <v>2</v>
      </c>
      <c r="AE2" s="3">
        <f>COUNTIFS(A2:A10,"&gt;1005",E2:E10,"Male")</f>
        <v>3</v>
      </c>
      <c r="AF2" s="3">
        <f>_xlfn.DAYS(I2,H2)</f>
        <v>5056</v>
      </c>
      <c r="AG2" s="3">
        <f>NETWORKDAYS(H2,I2)</f>
        <v>3611</v>
      </c>
    </row>
    <row r="3" spans="1:33" x14ac:dyDescent="0.3">
      <c r="A3" s="3">
        <v>1002</v>
      </c>
      <c r="B3" s="3" t="s">
        <v>4</v>
      </c>
      <c r="C3" s="3" t="s">
        <v>5</v>
      </c>
      <c r="D3" s="3">
        <v>30</v>
      </c>
      <c r="E3" s="3" t="s">
        <v>28</v>
      </c>
      <c r="F3" s="3" t="s">
        <v>27</v>
      </c>
      <c r="G3" s="3">
        <v>36000</v>
      </c>
      <c r="H3" s="4">
        <v>36436</v>
      </c>
      <c r="I3" s="4">
        <v>42287</v>
      </c>
      <c r="J3" s="6">
        <f>MAX(G2:G10)</f>
        <v>65000</v>
      </c>
      <c r="K3" s="3">
        <f>MIN(G2:G10)</f>
        <v>36000</v>
      </c>
      <c r="L3" s="3" t="str">
        <v>Junoir</v>
      </c>
      <c r="M3" s="3" t="e">
        <v>#N/A</v>
      </c>
      <c r="N3" s="3">
        <v>7</v>
      </c>
      <c r="O3" s="3" t="str">
        <v>Pam</v>
      </c>
      <c r="P3" s="7" t="str">
        <v>2</v>
      </c>
      <c r="Q3" s="3" t="str">
        <v>36436</v>
      </c>
      <c r="R3" s="3" t="str">
        <v>03/10/1999</v>
      </c>
      <c r="S3" s="3" t="str">
        <v>1999</v>
      </c>
      <c r="T3" s="3" t="str">
        <v>Beasley</v>
      </c>
      <c r="U3" s="3" t="str">
        <v>Beasley Pam</v>
      </c>
      <c r="V3" s="3" t="str">
        <v>Pam.Beasley@gmail.com</v>
      </c>
      <c r="W3" s="3" t="str">
        <v>03-10-1999</v>
      </c>
      <c r="X3" s="3" t="str">
        <v>03-10/1999</v>
      </c>
      <c r="Y3" s="3" t="str">
        <v>03/10-1999</v>
      </c>
      <c r="AC3" s="3" t="s">
        <v>99</v>
      </c>
      <c r="AF3" s="3">
        <f t="shared" ref="AF3:AF10" si="0">_xlfn.DAYS(I3,H3)</f>
        <v>5851</v>
      </c>
      <c r="AG3" s="3">
        <f t="shared" ref="AG3:AG10" si="1">NETWORKDAYS(H3,I3)</f>
        <v>4180</v>
      </c>
    </row>
    <row r="4" spans="1:33" x14ac:dyDescent="0.3">
      <c r="A4" s="3">
        <v>1003</v>
      </c>
      <c r="B4" s="3" t="s">
        <v>6</v>
      </c>
      <c r="C4" s="3" t="s">
        <v>7</v>
      </c>
      <c r="D4" s="3">
        <v>29</v>
      </c>
      <c r="E4" s="3" t="s">
        <v>26</v>
      </c>
      <c r="F4" s="3" t="s">
        <v>25</v>
      </c>
      <c r="G4" s="3">
        <v>63000</v>
      </c>
      <c r="H4" s="4">
        <v>36711</v>
      </c>
      <c r="I4" s="4">
        <v>42986</v>
      </c>
      <c r="L4" s="3" t="str">
        <v>Senior</v>
      </c>
      <c r="M4" s="3" t="str">
        <v>Sales</v>
      </c>
      <c r="N4" s="3">
        <v>7</v>
      </c>
      <c r="O4" s="3" t="str">
        <v>Dwi</v>
      </c>
      <c r="P4" s="3" t="str">
        <v>3</v>
      </c>
      <c r="Q4" s="3" t="str">
        <v>36711</v>
      </c>
      <c r="R4" s="3" t="str">
        <v>04/07/2000</v>
      </c>
      <c r="S4" s="3" t="str">
        <v>2000</v>
      </c>
      <c r="T4" s="3" t="str">
        <v>Schrute</v>
      </c>
      <c r="U4" s="3" t="str">
        <v>Schrute Dwight</v>
      </c>
      <c r="V4" s="3" t="str">
        <v>Dwight.Schrute@gmail.com</v>
      </c>
      <c r="W4" s="3" t="str">
        <v>04-07-2000</v>
      </c>
      <c r="X4" s="3" t="str">
        <v>04-07/2000</v>
      </c>
      <c r="Y4" s="3" t="str">
        <v>04/07-2000</v>
      </c>
      <c r="AF4" s="3">
        <f t="shared" si="0"/>
        <v>6275</v>
      </c>
      <c r="AG4" s="3">
        <f t="shared" si="1"/>
        <v>4484</v>
      </c>
    </row>
    <row r="5" spans="1:33" x14ac:dyDescent="0.3">
      <c r="A5" s="3">
        <v>1004</v>
      </c>
      <c r="B5" s="3" t="s">
        <v>13</v>
      </c>
      <c r="C5" s="3" t="s">
        <v>12</v>
      </c>
      <c r="D5" s="3">
        <v>31</v>
      </c>
      <c r="E5" s="3" t="s">
        <v>28</v>
      </c>
      <c r="F5" s="3" t="s">
        <v>29</v>
      </c>
      <c r="G5" s="3">
        <v>47000</v>
      </c>
      <c r="H5" s="4">
        <v>36530</v>
      </c>
      <c r="I5" s="4">
        <v>42341</v>
      </c>
      <c r="L5" s="3" t="str">
        <v>Senior</v>
      </c>
      <c r="M5" s="3" t="str">
        <v>Accounts</v>
      </c>
      <c r="N5" s="3">
        <v>6</v>
      </c>
      <c r="O5" s="3" t="str">
        <v>Ang</v>
      </c>
      <c r="P5" s="3" t="str">
        <v>4</v>
      </c>
      <c r="Q5" s="3" t="str">
        <v>36530</v>
      </c>
      <c r="R5" s="3" t="str">
        <v>05/01/2000</v>
      </c>
      <c r="S5" s="3" t="str">
        <v>2000</v>
      </c>
      <c r="T5" s="3" t="str">
        <v>Martin</v>
      </c>
      <c r="U5" s="3" t="str">
        <v>Martin Angela</v>
      </c>
      <c r="V5" s="3" t="str">
        <v>Angela.Martin@gmail.com</v>
      </c>
      <c r="W5" s="3" t="str">
        <v>05-01-2000</v>
      </c>
      <c r="X5" s="3" t="str">
        <v>05-01/2000</v>
      </c>
      <c r="Y5" s="3" t="str">
        <v>05/01-2000</v>
      </c>
      <c r="AF5" s="3">
        <f t="shared" si="0"/>
        <v>5811</v>
      </c>
      <c r="AG5" s="3">
        <f t="shared" si="1"/>
        <v>4152</v>
      </c>
    </row>
    <row r="6" spans="1:33" x14ac:dyDescent="0.3">
      <c r="A6" s="3">
        <v>1005</v>
      </c>
      <c r="B6" s="3" t="s">
        <v>14</v>
      </c>
      <c r="C6" s="3" t="s">
        <v>15</v>
      </c>
      <c r="D6" s="3">
        <v>32</v>
      </c>
      <c r="E6" s="3" t="s">
        <v>26</v>
      </c>
      <c r="F6" s="3" t="s">
        <v>30</v>
      </c>
      <c r="G6" s="3">
        <v>50000</v>
      </c>
      <c r="H6" s="4">
        <v>37017</v>
      </c>
      <c r="I6" s="4">
        <v>42977</v>
      </c>
      <c r="L6" s="3" t="str">
        <v>Senior</v>
      </c>
      <c r="M6" s="3" t="str">
        <v>Manager</v>
      </c>
      <c r="N6" s="3">
        <v>10</v>
      </c>
      <c r="O6" s="3" t="str">
        <v>Tob</v>
      </c>
      <c r="P6" s="3" t="str">
        <v>5</v>
      </c>
      <c r="Q6" s="3" t="str">
        <v>37017</v>
      </c>
      <c r="R6" s="3" t="str">
        <v>06/05/2001</v>
      </c>
      <c r="S6" s="3" t="str">
        <v>2001</v>
      </c>
      <c r="T6" s="3" t="str">
        <v>Flenderson</v>
      </c>
      <c r="U6" s="3" t="str">
        <v>Flenderson Toby</v>
      </c>
      <c r="V6" s="3" t="str">
        <v>Toby.Flenderson@gmail.com</v>
      </c>
      <c r="W6" s="3" t="str">
        <v>06-05-2001</v>
      </c>
      <c r="X6" s="3" t="str">
        <v>06-05/2001</v>
      </c>
      <c r="Y6" s="3" t="str">
        <v>06/05-2001</v>
      </c>
      <c r="AF6" s="3">
        <f t="shared" si="0"/>
        <v>5960</v>
      </c>
      <c r="AG6" s="3">
        <f t="shared" si="1"/>
        <v>4258</v>
      </c>
    </row>
    <row r="7" spans="1:33" x14ac:dyDescent="0.3">
      <c r="A7" s="3">
        <v>1006</v>
      </c>
      <c r="B7" s="3" t="s">
        <v>8</v>
      </c>
      <c r="C7" s="3" t="s">
        <v>9</v>
      </c>
      <c r="D7" s="3">
        <v>35</v>
      </c>
      <c r="E7" s="3" t="s">
        <v>26</v>
      </c>
      <c r="F7" s="3" t="s">
        <v>31</v>
      </c>
      <c r="G7" s="3">
        <v>65000</v>
      </c>
      <c r="H7" s="4">
        <v>35040</v>
      </c>
      <c r="I7" s="4">
        <v>41528</v>
      </c>
      <c r="L7" s="3" t="str">
        <v>Senior</v>
      </c>
      <c r="M7" s="3" t="e">
        <v>#N/A</v>
      </c>
      <c r="N7" s="3">
        <v>5</v>
      </c>
      <c r="O7" s="3" t="str">
        <v>Mic</v>
      </c>
      <c r="P7" s="3" t="str">
        <v>6</v>
      </c>
      <c r="Q7" s="3" t="str">
        <v>35040</v>
      </c>
      <c r="R7" s="3" t="str">
        <v>07/12/1995</v>
      </c>
      <c r="S7" s="3" t="str">
        <v>1995</v>
      </c>
      <c r="T7" s="3" t="str">
        <v>Scott</v>
      </c>
      <c r="U7" s="3" t="str">
        <v>Scott Michael</v>
      </c>
      <c r="V7" s="3" t="str">
        <v>Michael.Scott@gmail.com</v>
      </c>
      <c r="W7" s="3" t="str">
        <v>07-12-1995</v>
      </c>
      <c r="X7" s="3" t="str">
        <v>07-12/1995</v>
      </c>
      <c r="Y7" s="3" t="str">
        <v>07/12-1995</v>
      </c>
      <c r="AF7" s="3">
        <f t="shared" si="0"/>
        <v>6488</v>
      </c>
      <c r="AG7" s="3">
        <f t="shared" si="1"/>
        <v>4635</v>
      </c>
    </row>
    <row r="8" spans="1:33" x14ac:dyDescent="0.3">
      <c r="A8" s="3">
        <v>1007</v>
      </c>
      <c r="B8" s="3" t="s">
        <v>33</v>
      </c>
      <c r="C8" s="3" t="s">
        <v>34</v>
      </c>
      <c r="D8" s="3">
        <v>32</v>
      </c>
      <c r="E8" s="3" t="s">
        <v>28</v>
      </c>
      <c r="F8" s="3" t="s">
        <v>32</v>
      </c>
      <c r="G8" s="3">
        <v>41000</v>
      </c>
      <c r="H8" s="4">
        <v>37933</v>
      </c>
      <c r="I8" s="4">
        <v>41551</v>
      </c>
      <c r="L8" s="3" t="str">
        <v>Junoir</v>
      </c>
      <c r="M8" s="3" t="e">
        <v>#N/A</v>
      </c>
      <c r="N8" s="3">
        <v>6</v>
      </c>
      <c r="O8" s="3" t="str">
        <v>Mer</v>
      </c>
      <c r="P8" s="3" t="str">
        <v>7</v>
      </c>
      <c r="Q8" s="3" t="str">
        <v>37933</v>
      </c>
      <c r="R8" s="3" t="str">
        <v>08/11/2003</v>
      </c>
      <c r="S8" s="3" t="str">
        <v>2003</v>
      </c>
      <c r="T8" s="3" t="str">
        <v>Palmer</v>
      </c>
      <c r="U8" s="3" t="str">
        <v>Palmer Meredith</v>
      </c>
      <c r="V8" s="3" t="str">
        <v>Meredith.Palmer@gmail.com</v>
      </c>
      <c r="W8" s="3" t="str">
        <v>08-11-2003</v>
      </c>
      <c r="X8" s="3" t="str">
        <v>08-11/2003</v>
      </c>
      <c r="Y8" s="3" t="str">
        <v>08/11-2003</v>
      </c>
      <c r="AF8" s="3">
        <f t="shared" si="0"/>
        <v>3618</v>
      </c>
      <c r="AG8" s="3">
        <f t="shared" si="1"/>
        <v>2585</v>
      </c>
    </row>
    <row r="9" spans="1:33" x14ac:dyDescent="0.3">
      <c r="A9" s="3">
        <v>1008</v>
      </c>
      <c r="B9" s="3" t="s">
        <v>16</v>
      </c>
      <c r="C9" s="3" t="s">
        <v>17</v>
      </c>
      <c r="D9" s="3">
        <v>38</v>
      </c>
      <c r="E9" s="3" t="s">
        <v>26</v>
      </c>
      <c r="F9" s="3" t="s">
        <v>25</v>
      </c>
      <c r="G9" s="3">
        <v>48000</v>
      </c>
      <c r="H9" s="4">
        <v>37416</v>
      </c>
      <c r="I9" s="4">
        <v>42116</v>
      </c>
      <c r="L9" s="3" t="str">
        <v>Senior</v>
      </c>
      <c r="M9" s="3" t="str">
        <v>Sales</v>
      </c>
      <c r="N9" s="3">
        <v>6</v>
      </c>
      <c r="O9" s="3" t="str">
        <v>Sta</v>
      </c>
      <c r="P9" s="3" t="str">
        <v>8</v>
      </c>
      <c r="Q9" s="3" t="str">
        <v>37416</v>
      </c>
      <c r="R9" s="3" t="str">
        <v>09/06/2002</v>
      </c>
      <c r="S9" s="3" t="str">
        <v>2002</v>
      </c>
      <c r="T9" s="3" t="str">
        <v>Hudson</v>
      </c>
      <c r="U9" s="3" t="str">
        <v>Hudson Stanley</v>
      </c>
      <c r="V9" s="3" t="str">
        <v>Stanley.Hudson@gmail.com</v>
      </c>
      <c r="W9" s="3" t="str">
        <v>09-06-2002</v>
      </c>
      <c r="X9" s="3" t="str">
        <v>09-06/2002</v>
      </c>
      <c r="Y9" s="3" t="str">
        <v>09/06-2002</v>
      </c>
      <c r="AF9" s="3">
        <f t="shared" si="0"/>
        <v>4700</v>
      </c>
      <c r="AG9" s="3">
        <f t="shared" si="1"/>
        <v>3358</v>
      </c>
    </row>
    <row r="10" spans="1:33" x14ac:dyDescent="0.3">
      <c r="A10" s="3">
        <v>1009</v>
      </c>
      <c r="B10" s="3" t="s">
        <v>10</v>
      </c>
      <c r="C10" s="3" t="s">
        <v>11</v>
      </c>
      <c r="D10" s="3">
        <v>31</v>
      </c>
      <c r="E10" s="3" t="s">
        <v>26</v>
      </c>
      <c r="F10" s="3" t="s">
        <v>29</v>
      </c>
      <c r="G10" s="3">
        <v>42000</v>
      </c>
      <c r="H10" s="4">
        <v>37843</v>
      </c>
      <c r="I10" s="4">
        <v>40800</v>
      </c>
      <c r="L10" s="3" t="str">
        <v>Junoir</v>
      </c>
      <c r="M10" s="3" t="str">
        <v>Accounts</v>
      </c>
      <c r="N10" s="3">
        <v>6</v>
      </c>
      <c r="O10" s="3" t="str">
        <v>Kev</v>
      </c>
      <c r="P10" s="3" t="str">
        <v>9</v>
      </c>
      <c r="Q10" s="3" t="str">
        <v>37843</v>
      </c>
      <c r="R10" s="3" t="str">
        <v>10/08/2003</v>
      </c>
      <c r="S10" s="3" t="str">
        <v>2003</v>
      </c>
      <c r="T10" s="3" t="str">
        <v>Malone</v>
      </c>
      <c r="U10" s="3" t="str">
        <v>Malone Kevin</v>
      </c>
      <c r="V10" s="3" t="str">
        <v>Kevin.Malone@gmail.com</v>
      </c>
      <c r="W10" s="3" t="str">
        <v>10-08-2003</v>
      </c>
      <c r="X10" s="3" t="str">
        <v>10-08/2003</v>
      </c>
      <c r="Y10" s="3" t="str">
        <v>10/08-2003</v>
      </c>
      <c r="AF10" s="3">
        <f t="shared" si="0"/>
        <v>2957</v>
      </c>
      <c r="AG10" s="3">
        <f t="shared" si="1"/>
        <v>2113</v>
      </c>
    </row>
    <row r="11" spans="1:33" x14ac:dyDescent="0.3">
      <c r="O11" s="3" t="str">
        <v/>
      </c>
    </row>
    <row r="13" spans="1:33" x14ac:dyDescent="0.3">
      <c r="C13" s="3" t="s">
        <v>104</v>
      </c>
      <c r="F13" s="3" t="s">
        <v>105</v>
      </c>
    </row>
    <row r="14" spans="1:33" x14ac:dyDescent="0.3">
      <c r="C14" s="3" t="str" cm="1">
        <f t="array" ref="C14">_xlfn.XLOOKUP(B2,O2:O10,_xlfn.ANCHORARRAY(V2),"NOT FOUND")</f>
        <v>Jim.Halpert@gmail.com</v>
      </c>
    </row>
    <row r="15" spans="1:33" x14ac:dyDescent="0.3">
      <c r="C15" s="3" t="s">
        <v>106</v>
      </c>
    </row>
    <row r="16" spans="1:33" x14ac:dyDescent="0.3">
      <c r="C16" s="3" t="str" cm="1">
        <f t="array" ref="C16">_xlfn.XLOOKUP(B3,O2:O10,_xlfn.ANCHORARRAY(U2),,2)</f>
        <v>Beasley Pam</v>
      </c>
    </row>
    <row r="18" spans="3:3" x14ac:dyDescent="0.3">
      <c r="C18" s="3" t="s">
        <v>107</v>
      </c>
    </row>
    <row r="19" spans="3:3" x14ac:dyDescent="0.3">
      <c r="C19" s="3" t="str">
        <f>_xlfn.XLOOKUP(B4,O2:O10,F2:F10,"Not Found",0,-1)</f>
        <v>Not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B1" workbookViewId="0">
      <selection activeCell="J2" sqref="J2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9" sqref="H19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chaitanyakavati2@outlook.com</cp:lastModifiedBy>
  <dcterms:created xsi:type="dcterms:W3CDTF">2021-12-16T14:18:34Z</dcterms:created>
  <dcterms:modified xsi:type="dcterms:W3CDTF">2026-06-21T14:25:39Z</dcterms:modified>
</cp:coreProperties>
</file>